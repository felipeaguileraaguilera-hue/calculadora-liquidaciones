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6e56db635075dd/Documentos/Aceites Tapia/"/>
    </mc:Choice>
  </mc:AlternateContent>
  <xr:revisionPtr revIDLastSave="0" documentId="8_{EB3C2C59-4468-4DD2-981C-F18C8F8CEC7A}" xr6:coauthVersionLast="47" xr6:coauthVersionMax="47" xr10:uidLastSave="{00000000-0000-0000-0000-000000000000}"/>
  <bookViews>
    <workbookView xWindow="-120" yWindow="-120" windowWidth="25440" windowHeight="15390" xr2:uid="{716EDE91-68D0-4F3B-B09F-CB26986C9EC1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2" l="1"/>
  <c r="D4" i="1"/>
  <c r="D6" i="1"/>
  <c r="D8" i="1"/>
  <c r="D10" i="1"/>
  <c r="D12" i="1"/>
  <c r="D14" i="1"/>
  <c r="D16" i="1"/>
  <c r="D2" i="1"/>
  <c r="F3" i="1"/>
  <c r="G3" i="1" s="1"/>
  <c r="H3" i="1" s="1"/>
  <c r="F4" i="1"/>
  <c r="G4" i="1" s="1"/>
  <c r="H4" i="1" s="1"/>
  <c r="F5" i="1"/>
  <c r="G5" i="1" s="1"/>
  <c r="H5" i="1" s="1"/>
  <c r="F6" i="1"/>
  <c r="G6" i="1" s="1"/>
  <c r="F7" i="1"/>
  <c r="G7" i="1" s="1"/>
  <c r="H7" i="1" s="1"/>
  <c r="F8" i="1"/>
  <c r="G8" i="1" s="1"/>
  <c r="H8" i="1" s="1"/>
  <c r="F9" i="1"/>
  <c r="G9" i="1" s="1"/>
  <c r="H9" i="1" s="1"/>
  <c r="I8" i="1" s="1"/>
  <c r="F10" i="1"/>
  <c r="G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F15" i="1"/>
  <c r="G15" i="1" s="1"/>
  <c r="H15" i="1" s="1"/>
  <c r="F16" i="1"/>
  <c r="G16" i="1" s="1"/>
  <c r="H16" i="1" s="1"/>
  <c r="F17" i="1"/>
  <c r="G17" i="1" s="1"/>
  <c r="H17" i="1" s="1"/>
  <c r="I16" i="1" s="1"/>
  <c r="F2" i="1"/>
  <c r="G2" i="1" s="1"/>
  <c r="I4" i="1" l="1"/>
  <c r="I12" i="1"/>
  <c r="H2" i="1"/>
  <c r="I2" i="1" s="1"/>
  <c r="H10" i="1"/>
  <c r="I10" i="1" s="1"/>
  <c r="H6" i="1"/>
  <c r="I6" i="1" s="1"/>
  <c r="H14" i="1"/>
  <c r="I14" i="1" s="1"/>
  <c r="D12" i="2"/>
</calcChain>
</file>

<file path=xl/sharedStrings.xml><?xml version="1.0" encoding="utf-8"?>
<sst xmlns="http://schemas.openxmlformats.org/spreadsheetml/2006/main" count="24" uniqueCount="11">
  <si>
    <t>Maquila</t>
  </si>
  <si>
    <t>dto Rdto.</t>
  </si>
  <si>
    <t>Rdto</t>
  </si>
  <si>
    <t>PoolRed</t>
  </si>
  <si>
    <t>kg</t>
  </si>
  <si>
    <t>€/Kg Aceituna</t>
  </si>
  <si>
    <t>KG Aceituna</t>
  </si>
  <si>
    <t xml:space="preserve">Rto. </t>
  </si>
  <si>
    <t>Liquidación</t>
  </si>
  <si>
    <t>Simulador precio KG Aceituna</t>
  </si>
  <si>
    <t>€/Kg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</si>
</sst>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44" fontId="0" fillId="0" borderId="0" xfId="1" applyFont="1"/>
    <xf numFmtId="164" fontId="0" fillId="0" borderId="0" xfId="2" applyNumberFormat="1" applyFont="1"/>
    <xf numFmtId="10" fontId="0" fillId="0" borderId="0" xfId="2" applyNumberFormat="1" applyFont="1"/>
    <xf numFmtId="44" fontId="0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3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1" xfId="0" applyFill="1" applyBorder="1"/>
    <xf numFmtId="44" fontId="5" fillId="2" borderId="0" xfId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44" fontId="5" fillId="2" borderId="4" xfId="1" applyFont="1" applyFill="1" applyBorder="1" applyAlignment="1">
      <alignment horizontal="center" vertical="center"/>
    </xf>
    <xf numFmtId="0" fontId="0" fillId="2" borderId="5" xfId="0" applyFill="1" applyBorder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44" fontId="5" fillId="2" borderId="1" xfId="1" applyFont="1" applyFill="1" applyBorder="1" applyAlignment="1">
      <alignment horizontal="center" vertical="center"/>
    </xf>
    <xf numFmtId="44" fontId="5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0" fontId="0" fillId="0" borderId="0" xfId="0" applyBorder="1"/>
    <xf numFmtId="9" fontId="0" fillId="0" borderId="10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0" fillId="0" borderId="12" xfId="2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9" fontId="0" fillId="0" borderId="11" xfId="2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E574-603F-434A-ACE0-E3F17F759BD9}">
  <dimension ref="B3:M23"/>
  <sheetViews>
    <sheetView tabSelected="1" workbookViewId="0">
      <selection activeCell="D11" sqref="D11:F11"/>
    </sheetView>
  </sheetViews>
  <sheetFormatPr baseColWidth="10" defaultRowHeight="15" x14ac:dyDescent="0.25"/>
  <cols>
    <col min="2" max="2" width="15.140625" bestFit="1" customWidth="1"/>
    <col min="5" max="5" width="17.42578125" bestFit="1" customWidth="1"/>
    <col min="6" max="6" width="14.140625" bestFit="1" customWidth="1"/>
  </cols>
  <sheetData>
    <row r="3" spans="2:13" x14ac:dyDescent="0.25">
      <c r="B3" s="13" t="s">
        <v>9</v>
      </c>
      <c r="C3" s="13"/>
      <c r="D3" s="13"/>
      <c r="E3" s="13"/>
      <c r="F3" s="13"/>
    </row>
    <row r="4" spans="2:13" x14ac:dyDescent="0.25">
      <c r="B4" s="13"/>
      <c r="C4" s="13"/>
      <c r="D4" s="13"/>
      <c r="E4" s="13"/>
      <c r="F4" s="13"/>
    </row>
    <row r="5" spans="2:13" ht="23.25" customHeight="1" x14ac:dyDescent="0.25">
      <c r="B5" s="13"/>
      <c r="C5" s="13"/>
      <c r="D5" s="13"/>
      <c r="E5" s="13"/>
      <c r="F5" s="13"/>
      <c r="I5" s="28"/>
      <c r="J5" s="34" t="s">
        <v>10</v>
      </c>
      <c r="K5" s="35"/>
      <c r="L5" s="35"/>
      <c r="M5" s="36"/>
    </row>
    <row r="6" spans="2:13" ht="16.5" thickBot="1" x14ac:dyDescent="0.3">
      <c r="J6" s="37">
        <v>4</v>
      </c>
      <c r="K6" s="37">
        <v>4.25</v>
      </c>
      <c r="L6" s="38">
        <v>4.5</v>
      </c>
      <c r="M6" s="38">
        <v>5</v>
      </c>
    </row>
    <row r="7" spans="2:13" ht="30.75" thickBot="1" x14ac:dyDescent="0.35">
      <c r="B7" s="11" t="s">
        <v>6</v>
      </c>
      <c r="D7" s="20" t="s">
        <v>5</v>
      </c>
      <c r="E7" s="21"/>
      <c r="F7" s="22"/>
      <c r="I7" s="26" t="s">
        <v>2</v>
      </c>
      <c r="J7" s="30" t="s">
        <v>5</v>
      </c>
      <c r="K7" s="30" t="s">
        <v>5</v>
      </c>
      <c r="L7" s="31" t="s">
        <v>5</v>
      </c>
      <c r="M7" s="31" t="s">
        <v>5</v>
      </c>
    </row>
    <row r="8" spans="2:13" x14ac:dyDescent="0.25">
      <c r="B8">
        <v>1580</v>
      </c>
      <c r="D8" s="14"/>
      <c r="E8" s="15">
        <f>(($B$8*(B11-Hoja1!$B$2))*B14-(Hoja1!$A$2*$B$8))/$B$8</f>
        <v>0.72600000000000009</v>
      </c>
      <c r="F8" s="16"/>
      <c r="I8" s="39">
        <v>0.18</v>
      </c>
      <c r="J8" s="40">
        <v>0.52</v>
      </c>
      <c r="K8" s="40">
        <v>0.55624999999999991</v>
      </c>
      <c r="L8" s="40">
        <v>0.59250000000000003</v>
      </c>
      <c r="M8" s="40">
        <v>0.66500000000000004</v>
      </c>
    </row>
    <row r="9" spans="2:13" ht="15" customHeight="1" x14ac:dyDescent="0.25">
      <c r="D9" s="14"/>
      <c r="E9" s="15"/>
      <c r="F9" s="16"/>
      <c r="I9" s="29"/>
      <c r="J9" s="27"/>
      <c r="K9" s="27"/>
      <c r="L9" s="27"/>
      <c r="M9" s="27"/>
    </row>
    <row r="10" spans="2:13" ht="18.75" customHeight="1" thickBot="1" x14ac:dyDescent="0.35">
      <c r="B10" s="11" t="s">
        <v>7</v>
      </c>
      <c r="D10" s="17"/>
      <c r="E10" s="18"/>
      <c r="F10" s="19"/>
      <c r="I10" s="29">
        <v>0.19</v>
      </c>
      <c r="J10" s="27">
        <v>0.56000000000000005</v>
      </c>
      <c r="K10" s="27">
        <v>0.59874999999999989</v>
      </c>
      <c r="L10" s="27">
        <v>0.63749999999999996</v>
      </c>
      <c r="M10" s="27">
        <v>0.71500000000000008</v>
      </c>
    </row>
    <row r="11" spans="2:13" ht="19.5" thickBot="1" x14ac:dyDescent="0.35">
      <c r="B11" s="3">
        <v>0.23150000000000001</v>
      </c>
      <c r="D11" s="20" t="s">
        <v>8</v>
      </c>
      <c r="E11" s="21"/>
      <c r="F11" s="22"/>
      <c r="I11" s="29"/>
      <c r="J11" s="27"/>
      <c r="K11" s="27"/>
      <c r="L11" s="27"/>
      <c r="M11" s="27"/>
    </row>
    <row r="12" spans="2:13" ht="15" customHeight="1" x14ac:dyDescent="0.25">
      <c r="D12" s="23">
        <f>B8*E8</f>
        <v>1147.0800000000002</v>
      </c>
      <c r="E12" s="15"/>
      <c r="F12" s="16"/>
      <c r="I12" s="29">
        <v>0.2</v>
      </c>
      <c r="J12" s="27">
        <v>0.60000000000000009</v>
      </c>
      <c r="K12" s="27">
        <v>0.6412500000000001</v>
      </c>
      <c r="L12" s="27">
        <v>0.68250000000000011</v>
      </c>
      <c r="M12" s="27">
        <v>0.76500000000000012</v>
      </c>
    </row>
    <row r="13" spans="2:13" ht="18.75" customHeight="1" x14ac:dyDescent="0.25">
      <c r="B13" s="12" t="s">
        <v>3</v>
      </c>
      <c r="D13" s="23"/>
      <c r="E13" s="15"/>
      <c r="F13" s="16"/>
      <c r="I13" s="29"/>
      <c r="J13" s="27"/>
      <c r="K13" s="27"/>
      <c r="L13" s="27"/>
      <c r="M13" s="27"/>
    </row>
    <row r="14" spans="2:13" ht="15" customHeight="1" thickBot="1" x14ac:dyDescent="0.3">
      <c r="B14" s="5">
        <v>4</v>
      </c>
      <c r="D14" s="24"/>
      <c r="E14" s="18"/>
      <c r="F14" s="19"/>
      <c r="I14" s="29">
        <v>0.21</v>
      </c>
      <c r="J14" s="27">
        <v>0.6399999999999999</v>
      </c>
      <c r="K14" s="27">
        <v>0.68374999999999986</v>
      </c>
      <c r="L14" s="27">
        <v>0.72750000000000004</v>
      </c>
      <c r="M14" s="27">
        <v>0.81499999999999995</v>
      </c>
    </row>
    <row r="15" spans="2:13" x14ac:dyDescent="0.25">
      <c r="I15" s="29"/>
      <c r="J15" s="27"/>
      <c r="K15" s="27"/>
      <c r="L15" s="27"/>
      <c r="M15" s="27"/>
    </row>
    <row r="16" spans="2:13" x14ac:dyDescent="0.25">
      <c r="I16" s="29">
        <v>0.22</v>
      </c>
      <c r="J16" s="27">
        <v>0.67999999999999994</v>
      </c>
      <c r="K16" s="27">
        <v>0.72625000000000006</v>
      </c>
      <c r="L16" s="27">
        <v>0.77249999999999996</v>
      </c>
      <c r="M16" s="27">
        <v>0.86499999999999999</v>
      </c>
    </row>
    <row r="17" spans="9:13" x14ac:dyDescent="0.25">
      <c r="I17" s="29"/>
      <c r="J17" s="27"/>
      <c r="K17" s="27"/>
      <c r="L17" s="27"/>
      <c r="M17" s="27"/>
    </row>
    <row r="18" spans="9:13" x14ac:dyDescent="0.25">
      <c r="I18" s="29">
        <v>0.23</v>
      </c>
      <c r="J18" s="27">
        <v>0.72</v>
      </c>
      <c r="K18" s="27">
        <v>0.76875000000000004</v>
      </c>
      <c r="L18" s="27">
        <v>0.81750000000000012</v>
      </c>
      <c r="M18" s="27">
        <v>0.91500000000000004</v>
      </c>
    </row>
    <row r="19" spans="9:13" x14ac:dyDescent="0.25">
      <c r="I19" s="29"/>
      <c r="J19" s="27"/>
      <c r="K19" s="27"/>
      <c r="L19" s="27"/>
      <c r="M19" s="27"/>
    </row>
    <row r="20" spans="9:13" x14ac:dyDescent="0.25">
      <c r="I20" s="29">
        <v>0.24</v>
      </c>
      <c r="J20" s="27">
        <v>0.76</v>
      </c>
      <c r="K20" s="27">
        <v>0.81125000000000003</v>
      </c>
      <c r="L20" s="27">
        <v>0.86250000000000004</v>
      </c>
      <c r="M20" s="27">
        <v>0.96499999999999986</v>
      </c>
    </row>
    <row r="21" spans="9:13" x14ac:dyDescent="0.25">
      <c r="I21" s="29"/>
      <c r="J21" s="27"/>
      <c r="K21" s="27"/>
      <c r="L21" s="27"/>
      <c r="M21" s="27"/>
    </row>
    <row r="22" spans="9:13" x14ac:dyDescent="0.25">
      <c r="I22" s="29">
        <v>0.25</v>
      </c>
      <c r="J22" s="27">
        <v>0.8</v>
      </c>
      <c r="K22" s="27">
        <v>0.85375000000000001</v>
      </c>
      <c r="L22" s="27">
        <v>0.90749999999999997</v>
      </c>
      <c r="M22" s="27">
        <v>1.0149999999999999</v>
      </c>
    </row>
    <row r="23" spans="9:13" x14ac:dyDescent="0.25">
      <c r="I23" s="32"/>
      <c r="J23" s="33"/>
      <c r="K23" s="33"/>
      <c r="L23" s="33"/>
      <c r="M23" s="33"/>
    </row>
  </sheetData>
  <mergeCells count="46">
    <mergeCell ref="I22:I23"/>
    <mergeCell ref="J22:J23"/>
    <mergeCell ref="K22:K23"/>
    <mergeCell ref="L22:L23"/>
    <mergeCell ref="M22:M23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K10:K11"/>
    <mergeCell ref="L10:L11"/>
    <mergeCell ref="M10:M11"/>
    <mergeCell ref="I12:I13"/>
    <mergeCell ref="J12:J13"/>
    <mergeCell ref="K12:K13"/>
    <mergeCell ref="L12:L13"/>
    <mergeCell ref="M12:M13"/>
    <mergeCell ref="D12:E14"/>
    <mergeCell ref="J5:M5"/>
    <mergeCell ref="I8:I9"/>
    <mergeCell ref="J8:J9"/>
    <mergeCell ref="K8:K9"/>
    <mergeCell ref="L8:L9"/>
    <mergeCell ref="M8:M9"/>
    <mergeCell ref="I10:I11"/>
    <mergeCell ref="J10:J11"/>
    <mergeCell ref="B3:F5"/>
    <mergeCell ref="D7:F7"/>
    <mergeCell ref="E8:E10"/>
    <mergeCell ref="D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FD15-3022-4C29-B9DF-9BFC8F34E132}">
  <dimension ref="A1:V99"/>
  <sheetViews>
    <sheetView workbookViewId="0">
      <selection activeCell="K1" sqref="K1:O19"/>
    </sheetView>
  </sheetViews>
  <sheetFormatPr baseColWidth="10" defaultRowHeight="15" x14ac:dyDescent="0.25"/>
  <cols>
    <col min="4" max="4" width="6.7109375" customWidth="1"/>
    <col min="5" max="5" width="11.7109375" hidden="1" customWidth="1"/>
    <col min="6" max="6" width="7.140625" hidden="1" customWidth="1"/>
    <col min="7" max="7" width="11.42578125" hidden="1" customWidth="1"/>
    <col min="8" max="8" width="13" hidden="1" customWidth="1"/>
    <col min="9" max="9" width="9.5703125" customWidth="1"/>
    <col min="10" max="10" width="13.28515625" style="6" bestFit="1" customWidth="1"/>
    <col min="11" max="11" width="13.28515625" bestFit="1" customWidth="1"/>
    <col min="12" max="12" width="12" bestFit="1" customWidth="1"/>
  </cols>
  <sheetData>
    <row r="1" spans="1:22" ht="31.5" customHeight="1" x14ac:dyDescent="0.25">
      <c r="A1" s="6" t="s">
        <v>0</v>
      </c>
      <c r="B1" s="6" t="s">
        <v>1</v>
      </c>
      <c r="D1" s="25" t="s">
        <v>2</v>
      </c>
      <c r="E1" s="25"/>
      <c r="F1" s="25"/>
      <c r="G1" s="25"/>
      <c r="H1" s="25"/>
      <c r="I1" s="25" t="s">
        <v>5</v>
      </c>
      <c r="K1" s="28"/>
      <c r="L1" s="34" t="s">
        <v>10</v>
      </c>
      <c r="M1" s="35"/>
      <c r="N1" s="35"/>
      <c r="O1" s="36"/>
    </row>
    <row r="2" spans="1:22" ht="29.25" customHeight="1" x14ac:dyDescent="0.25">
      <c r="A2" s="8">
        <v>0.06</v>
      </c>
      <c r="B2" s="10">
        <v>3.5000000000000003E-2</v>
      </c>
      <c r="D2" s="9">
        <f>MIN(E2:E3)</f>
        <v>0.18</v>
      </c>
      <c r="E2" s="2">
        <v>0.18</v>
      </c>
      <c r="F2" s="2">
        <f>$E2-$B$2</f>
        <v>0.14499999999999999</v>
      </c>
      <c r="G2" s="1">
        <f>-($B$5*$A$2)+($B$5*$F2)*$A$5</f>
        <v>0.66500000000000004</v>
      </c>
      <c r="H2" s="1">
        <f>G2/$B$5</f>
        <v>0.66500000000000004</v>
      </c>
      <c r="I2" s="4">
        <f>MIN(H2:H3)</f>
        <v>0.66500000000000004</v>
      </c>
      <c r="L2" s="37">
        <v>4</v>
      </c>
      <c r="M2" s="37">
        <v>4.25</v>
      </c>
      <c r="N2" s="38">
        <v>4.5</v>
      </c>
      <c r="O2" s="38">
        <v>5</v>
      </c>
      <c r="P2" s="6"/>
      <c r="Q2" s="6"/>
      <c r="R2" s="6"/>
      <c r="S2" s="6"/>
      <c r="T2" s="6"/>
      <c r="U2" s="6"/>
      <c r="V2" s="6"/>
    </row>
    <row r="3" spans="1:22" ht="30" x14ac:dyDescent="0.25">
      <c r="A3" s="6"/>
      <c r="B3" s="6"/>
      <c r="D3" s="9"/>
      <c r="E3" s="2">
        <v>0.185</v>
      </c>
      <c r="F3" s="2">
        <f>$E3-$B$2</f>
        <v>0.15</v>
      </c>
      <c r="G3" s="1">
        <f>-($B$5*$A$2)+($B$5*$F3)*$A$5</f>
        <v>0.69</v>
      </c>
      <c r="H3" s="1">
        <f>G3/$B$5</f>
        <v>0.69</v>
      </c>
      <c r="I3" s="4"/>
      <c r="K3" s="26" t="s">
        <v>2</v>
      </c>
      <c r="L3" s="30" t="s">
        <v>5</v>
      </c>
      <c r="M3" s="30" t="s">
        <v>5</v>
      </c>
      <c r="N3" s="31" t="s">
        <v>5</v>
      </c>
      <c r="O3" s="31" t="s">
        <v>5</v>
      </c>
    </row>
    <row r="4" spans="1:22" x14ac:dyDescent="0.25">
      <c r="A4" s="6" t="s">
        <v>3</v>
      </c>
      <c r="B4" s="6" t="s">
        <v>4</v>
      </c>
      <c r="D4" s="9">
        <f t="shared" ref="D4" si="0">MIN(E4:E5)</f>
        <v>0.19</v>
      </c>
      <c r="E4" s="2">
        <v>0.19</v>
      </c>
      <c r="F4" s="2">
        <f>$E4-$B$2</f>
        <v>0.155</v>
      </c>
      <c r="G4" s="1">
        <f>-($B$5*$A$2)+($B$5*$F4)*$A$5</f>
        <v>0.71500000000000008</v>
      </c>
      <c r="H4" s="1">
        <f>G4/$B$5</f>
        <v>0.71500000000000008</v>
      </c>
      <c r="I4" s="4">
        <f t="shared" ref="I4" si="1">MIN(H4:H5)</f>
        <v>0.71500000000000008</v>
      </c>
      <c r="K4" s="39">
        <v>0.18</v>
      </c>
      <c r="L4" s="40">
        <v>0.52</v>
      </c>
      <c r="M4" s="40">
        <v>0.55624999999999991</v>
      </c>
      <c r="N4" s="40">
        <v>0.59250000000000003</v>
      </c>
      <c r="O4" s="40">
        <v>0.66500000000000004</v>
      </c>
    </row>
    <row r="5" spans="1:22" ht="15.75" x14ac:dyDescent="0.25">
      <c r="A5" s="8">
        <v>5</v>
      </c>
      <c r="B5" s="7">
        <v>1</v>
      </c>
      <c r="D5" s="9"/>
      <c r="E5" s="2">
        <v>0.19500000000000001</v>
      </c>
      <c r="F5" s="2">
        <f>$E5-$B$2</f>
        <v>0.16</v>
      </c>
      <c r="G5" s="1">
        <f>-($B$5*$A$2)+($B$5*$F5)*$A$5</f>
        <v>0.74</v>
      </c>
      <c r="H5" s="1">
        <f>G5/$B$5</f>
        <v>0.74</v>
      </c>
      <c r="I5" s="4"/>
      <c r="K5" s="29"/>
      <c r="L5" s="27"/>
      <c r="M5" s="27"/>
      <c r="N5" s="27"/>
      <c r="O5" s="27"/>
    </row>
    <row r="6" spans="1:22" x14ac:dyDescent="0.25">
      <c r="D6" s="9">
        <f t="shared" ref="D6" si="2">MIN(E6:E7)</f>
        <v>0.2</v>
      </c>
      <c r="E6" s="2">
        <v>0.2</v>
      </c>
      <c r="F6" s="2">
        <f>$E6-$B$2</f>
        <v>0.16500000000000001</v>
      </c>
      <c r="G6" s="1">
        <f>-($B$5*$A$2)+($B$5*$F6)*$A$5</f>
        <v>0.76500000000000012</v>
      </c>
      <c r="H6" s="1">
        <f>G6/$B$5</f>
        <v>0.76500000000000012</v>
      </c>
      <c r="I6" s="4">
        <f t="shared" ref="I6" si="3">MIN(H6:H7)</f>
        <v>0.76500000000000012</v>
      </c>
      <c r="K6" s="29">
        <v>0.19</v>
      </c>
      <c r="L6" s="27">
        <v>0.56000000000000005</v>
      </c>
      <c r="M6" s="27">
        <v>0.59874999999999989</v>
      </c>
      <c r="N6" s="27">
        <v>0.63749999999999996</v>
      </c>
      <c r="O6" s="27">
        <v>0.71500000000000008</v>
      </c>
    </row>
    <row r="7" spans="1:22" x14ac:dyDescent="0.25">
      <c r="D7" s="9"/>
      <c r="E7" s="2">
        <v>0.20499999999999999</v>
      </c>
      <c r="F7" s="2">
        <f>$E7-$B$2</f>
        <v>0.16999999999999998</v>
      </c>
      <c r="G7" s="1">
        <f>-($B$5*$A$2)+($B$5*$F7)*$A$5</f>
        <v>0.78999999999999981</v>
      </c>
      <c r="H7" s="1">
        <f>G7/$B$5</f>
        <v>0.78999999999999981</v>
      </c>
      <c r="I7" s="4"/>
      <c r="K7" s="29"/>
      <c r="L7" s="27"/>
      <c r="M7" s="27"/>
      <c r="N7" s="27"/>
      <c r="O7" s="27"/>
    </row>
    <row r="8" spans="1:22" x14ac:dyDescent="0.25">
      <c r="D8" s="9">
        <f t="shared" ref="D8" si="4">MIN(E8:E9)</f>
        <v>0.21</v>
      </c>
      <c r="E8" s="2">
        <v>0.21</v>
      </c>
      <c r="F8" s="2">
        <f>$E8-$B$2</f>
        <v>0.17499999999999999</v>
      </c>
      <c r="G8" s="1">
        <f>-($B$5*$A$2)+($B$5*$F8)*$A$5</f>
        <v>0.81499999999999995</v>
      </c>
      <c r="H8" s="1">
        <f>G8/$B$5</f>
        <v>0.81499999999999995</v>
      </c>
      <c r="I8" s="4">
        <f t="shared" ref="I8" si="5">MIN(H8:H9)</f>
        <v>0.81499999999999995</v>
      </c>
      <c r="K8" s="29">
        <v>0.2</v>
      </c>
      <c r="L8" s="27">
        <v>0.60000000000000009</v>
      </c>
      <c r="M8" s="27">
        <v>0.6412500000000001</v>
      </c>
      <c r="N8" s="27">
        <v>0.68250000000000011</v>
      </c>
      <c r="O8" s="27">
        <v>0.76500000000000012</v>
      </c>
    </row>
    <row r="9" spans="1:22" x14ac:dyDescent="0.25">
      <c r="D9" s="9"/>
      <c r="E9" s="2">
        <v>0.215</v>
      </c>
      <c r="F9" s="2">
        <f>$E9-$B$2</f>
        <v>0.18</v>
      </c>
      <c r="G9" s="1">
        <f>-($B$5*$A$2)+($B$5*$F9)*$A$5</f>
        <v>0.83999999999999986</v>
      </c>
      <c r="H9" s="1">
        <f>G9/$B$5</f>
        <v>0.83999999999999986</v>
      </c>
      <c r="I9" s="4"/>
      <c r="K9" s="29"/>
      <c r="L9" s="27"/>
      <c r="M9" s="27"/>
      <c r="N9" s="27"/>
      <c r="O9" s="27"/>
    </row>
    <row r="10" spans="1:22" x14ac:dyDescent="0.25">
      <c r="D10" s="9">
        <f t="shared" ref="D10" si="6">MIN(E10:E11)</f>
        <v>0.22</v>
      </c>
      <c r="E10" s="2">
        <v>0.22</v>
      </c>
      <c r="F10" s="2">
        <f>$E10-$B$2</f>
        <v>0.185</v>
      </c>
      <c r="G10" s="1">
        <f>-($B$5*$A$2)+($B$5*$F10)*$A$5</f>
        <v>0.86499999999999999</v>
      </c>
      <c r="H10" s="1">
        <f>G10/$B$5</f>
        <v>0.86499999999999999</v>
      </c>
      <c r="I10" s="4">
        <f t="shared" ref="I10" si="7">MIN(H10:H11)</f>
        <v>0.86499999999999999</v>
      </c>
      <c r="K10" s="29">
        <v>0.21</v>
      </c>
      <c r="L10" s="27">
        <v>0.6399999999999999</v>
      </c>
      <c r="M10" s="27">
        <v>0.68374999999999986</v>
      </c>
      <c r="N10" s="27">
        <v>0.72750000000000004</v>
      </c>
      <c r="O10" s="27">
        <v>0.81499999999999995</v>
      </c>
    </row>
    <row r="11" spans="1:22" x14ac:dyDescent="0.25">
      <c r="D11" s="9"/>
      <c r="E11" s="2">
        <v>0.22500000000000001</v>
      </c>
      <c r="F11" s="2">
        <f>$E11-$B$2</f>
        <v>0.19</v>
      </c>
      <c r="G11" s="1">
        <f>-($B$5*$A$2)+($B$5*$F11)*$A$5</f>
        <v>0.8899999999999999</v>
      </c>
      <c r="H11" s="1">
        <f>G11/$B$5</f>
        <v>0.8899999999999999</v>
      </c>
      <c r="I11" s="4"/>
      <c r="K11" s="29"/>
      <c r="L11" s="27"/>
      <c r="M11" s="27"/>
      <c r="N11" s="27"/>
      <c r="O11" s="27"/>
    </row>
    <row r="12" spans="1:22" x14ac:dyDescent="0.25">
      <c r="D12" s="9">
        <f t="shared" ref="D12" si="8">MIN(E12:E13)</f>
        <v>0.23</v>
      </c>
      <c r="E12" s="2">
        <v>0.23</v>
      </c>
      <c r="F12" s="2">
        <f>$E12-$B$2</f>
        <v>0.19500000000000001</v>
      </c>
      <c r="G12" s="1">
        <f>-($B$5*$A$2)+($B$5*$F12)*$A$5</f>
        <v>0.91500000000000004</v>
      </c>
      <c r="H12" s="1">
        <f>G12/$B$5</f>
        <v>0.91500000000000004</v>
      </c>
      <c r="I12" s="4">
        <f t="shared" ref="I12" si="9">MIN(H12:H13)</f>
        <v>0.91500000000000004</v>
      </c>
      <c r="K12" s="29">
        <v>0.22</v>
      </c>
      <c r="L12" s="27">
        <v>0.67999999999999994</v>
      </c>
      <c r="M12" s="27">
        <v>0.72625000000000006</v>
      </c>
      <c r="N12" s="27">
        <v>0.77249999999999996</v>
      </c>
      <c r="O12" s="27">
        <v>0.86499999999999999</v>
      </c>
    </row>
    <row r="13" spans="1:22" x14ac:dyDescent="0.25">
      <c r="C13" s="1"/>
      <c r="D13" s="9"/>
      <c r="E13" s="2">
        <v>0.23499999999999999</v>
      </c>
      <c r="F13" s="2">
        <f>$E13-$B$2</f>
        <v>0.19999999999999998</v>
      </c>
      <c r="G13" s="1">
        <f>-($B$5*$A$2)+($B$5*$F13)*$A$5</f>
        <v>0.94</v>
      </c>
      <c r="H13" s="1">
        <f>G13/$B$5</f>
        <v>0.94</v>
      </c>
      <c r="I13" s="4"/>
      <c r="K13" s="29"/>
      <c r="L13" s="27"/>
      <c r="M13" s="27"/>
      <c r="N13" s="27"/>
      <c r="O13" s="27"/>
    </row>
    <row r="14" spans="1:22" x14ac:dyDescent="0.25">
      <c r="C14" s="1"/>
      <c r="D14" s="9">
        <f t="shared" ref="D14" si="10">MIN(E14:E15)</f>
        <v>0.24</v>
      </c>
      <c r="E14" s="2">
        <v>0.24</v>
      </c>
      <c r="F14" s="2">
        <f>$E14-$B$2</f>
        <v>0.20499999999999999</v>
      </c>
      <c r="G14" s="1">
        <f>-($B$5*$A$2)+($B$5*$F14)*$A$5</f>
        <v>0.96499999999999986</v>
      </c>
      <c r="H14" s="1">
        <f>G14/$B$5</f>
        <v>0.96499999999999986</v>
      </c>
      <c r="I14" s="4">
        <f t="shared" ref="I14" si="11">MIN(H14:H15)</f>
        <v>0.96499999999999986</v>
      </c>
      <c r="K14" s="29">
        <v>0.23</v>
      </c>
      <c r="L14" s="27">
        <v>0.72</v>
      </c>
      <c r="M14" s="27">
        <v>0.76875000000000004</v>
      </c>
      <c r="N14" s="27">
        <v>0.81750000000000012</v>
      </c>
      <c r="O14" s="27">
        <v>0.91500000000000004</v>
      </c>
    </row>
    <row r="15" spans="1:22" x14ac:dyDescent="0.25">
      <c r="C15" s="1"/>
      <c r="D15" s="9"/>
      <c r="E15" s="2">
        <v>0.245</v>
      </c>
      <c r="F15" s="2">
        <f>$E15-$B$2</f>
        <v>0.21</v>
      </c>
      <c r="G15" s="1">
        <f>-($B$5*$A$2)+($B$5*$F15)*$A$5</f>
        <v>0.99</v>
      </c>
      <c r="H15" s="1">
        <f>G15/$B$5</f>
        <v>0.99</v>
      </c>
      <c r="I15" s="4"/>
      <c r="K15" s="29"/>
      <c r="L15" s="27"/>
      <c r="M15" s="27"/>
      <c r="N15" s="27"/>
      <c r="O15" s="27"/>
    </row>
    <row r="16" spans="1:22" x14ac:dyDescent="0.25">
      <c r="C16" s="1"/>
      <c r="D16" s="9">
        <f t="shared" ref="D16" si="12">MIN(E16:E17)</f>
        <v>0.25</v>
      </c>
      <c r="E16" s="2">
        <v>0.25</v>
      </c>
      <c r="F16" s="2">
        <f>$E16-$B$2</f>
        <v>0.215</v>
      </c>
      <c r="G16" s="1">
        <f>-($B$5*$A$2)+($B$5*$F16)*$A$5</f>
        <v>1.0149999999999999</v>
      </c>
      <c r="H16" s="1">
        <f>G16/$B$5</f>
        <v>1.0149999999999999</v>
      </c>
      <c r="I16" s="4">
        <f t="shared" ref="I16" si="13">MIN(H16:H17)</f>
        <v>1.0149999999999999</v>
      </c>
      <c r="K16" s="29">
        <v>0.24</v>
      </c>
      <c r="L16" s="27">
        <v>0.76</v>
      </c>
      <c r="M16" s="27">
        <v>0.81125000000000003</v>
      </c>
      <c r="N16" s="27">
        <v>0.86250000000000004</v>
      </c>
      <c r="O16" s="27">
        <v>0.96499999999999986</v>
      </c>
    </row>
    <row r="17" spans="3:15" x14ac:dyDescent="0.25">
      <c r="C17" s="1"/>
      <c r="D17" s="9"/>
      <c r="E17" s="2">
        <v>0.255</v>
      </c>
      <c r="F17" s="2">
        <f>$E17-$B$2</f>
        <v>0.22</v>
      </c>
      <c r="G17" s="1">
        <f>-($B$5*$A$2)+($B$5*$F17)*$A$5</f>
        <v>1.04</v>
      </c>
      <c r="H17" s="1">
        <f>G17/$B$5</f>
        <v>1.04</v>
      </c>
      <c r="I17" s="4"/>
      <c r="K17" s="29"/>
      <c r="L17" s="27"/>
      <c r="M17" s="27"/>
      <c r="N17" s="27"/>
      <c r="O17" s="27"/>
    </row>
    <row r="18" spans="3:15" x14ac:dyDescent="0.25">
      <c r="C18" s="1"/>
      <c r="K18" s="29">
        <v>0.25</v>
      </c>
      <c r="L18" s="27">
        <v>0.8</v>
      </c>
      <c r="M18" s="27">
        <v>0.85375000000000001</v>
      </c>
      <c r="N18" s="27">
        <v>0.90749999999999997</v>
      </c>
      <c r="O18" s="27">
        <v>1.0149999999999999</v>
      </c>
    </row>
    <row r="19" spans="3:15" x14ac:dyDescent="0.25">
      <c r="C19" s="1"/>
      <c r="K19" s="32"/>
      <c r="L19" s="33"/>
      <c r="M19" s="33"/>
      <c r="N19" s="33"/>
      <c r="O19" s="33"/>
    </row>
    <row r="20" spans="3:15" x14ac:dyDescent="0.25">
      <c r="C20" s="1"/>
    </row>
    <row r="21" spans="3:15" x14ac:dyDescent="0.25">
      <c r="C21" s="1"/>
    </row>
    <row r="22" spans="3:15" x14ac:dyDescent="0.25">
      <c r="C22" s="1"/>
    </row>
    <row r="23" spans="3:15" x14ac:dyDescent="0.25">
      <c r="C23" s="1"/>
    </row>
    <row r="24" spans="3:15" x14ac:dyDescent="0.25">
      <c r="C24" s="1"/>
    </row>
    <row r="25" spans="3:15" x14ac:dyDescent="0.25">
      <c r="C25" s="1"/>
    </row>
    <row r="26" spans="3:15" x14ac:dyDescent="0.25">
      <c r="C26" s="1"/>
    </row>
    <row r="27" spans="3:15" x14ac:dyDescent="0.25">
      <c r="C27" s="1"/>
    </row>
    <row r="28" spans="3:15" x14ac:dyDescent="0.25">
      <c r="C28" s="1"/>
      <c r="D28" s="1"/>
    </row>
    <row r="29" spans="3:15" x14ac:dyDescent="0.25">
      <c r="C29" s="1"/>
      <c r="D29" s="1"/>
    </row>
    <row r="30" spans="3:15" x14ac:dyDescent="0.25">
      <c r="C30" s="1"/>
      <c r="D30" s="1"/>
    </row>
    <row r="31" spans="3:15" x14ac:dyDescent="0.25">
      <c r="C31" s="1"/>
      <c r="D31" s="1"/>
    </row>
    <row r="32" spans="3:15" x14ac:dyDescent="0.25">
      <c r="C32" s="1"/>
      <c r="D32" s="1"/>
    </row>
    <row r="33" spans="3:4" x14ac:dyDescent="0.25">
      <c r="C33" s="1"/>
      <c r="D33" s="1"/>
    </row>
    <row r="34" spans="3:4" x14ac:dyDescent="0.25">
      <c r="C34" s="1"/>
      <c r="D34" s="1"/>
    </row>
    <row r="35" spans="3:4" x14ac:dyDescent="0.25">
      <c r="C35" s="1"/>
      <c r="D35" s="1"/>
    </row>
    <row r="36" spans="3:4" x14ac:dyDescent="0.25">
      <c r="C36" s="1"/>
      <c r="D36" s="1"/>
    </row>
    <row r="37" spans="3:4" x14ac:dyDescent="0.25">
      <c r="C37" s="1"/>
      <c r="D37" s="1"/>
    </row>
    <row r="38" spans="3:4" x14ac:dyDescent="0.25">
      <c r="C38" s="1"/>
      <c r="D38" s="1"/>
    </row>
    <row r="39" spans="3:4" x14ac:dyDescent="0.25">
      <c r="C39" s="1"/>
      <c r="D39" s="1"/>
    </row>
    <row r="40" spans="3:4" x14ac:dyDescent="0.25">
      <c r="C40" s="1"/>
      <c r="D40" s="1"/>
    </row>
    <row r="41" spans="3:4" x14ac:dyDescent="0.25">
      <c r="C41" s="1"/>
      <c r="D41" s="1"/>
    </row>
    <row r="42" spans="3:4" x14ac:dyDescent="0.25">
      <c r="C42" s="1"/>
      <c r="D42" s="1"/>
    </row>
    <row r="43" spans="3:4" x14ac:dyDescent="0.25">
      <c r="C43" s="1"/>
      <c r="D43" s="1"/>
    </row>
    <row r="44" spans="3:4" x14ac:dyDescent="0.25">
      <c r="C44" s="1"/>
      <c r="D44" s="1"/>
    </row>
    <row r="45" spans="3:4" x14ac:dyDescent="0.25">
      <c r="C45" s="1"/>
      <c r="D45" s="1"/>
    </row>
    <row r="46" spans="3:4" x14ac:dyDescent="0.25">
      <c r="C46" s="1"/>
      <c r="D46" s="1"/>
    </row>
    <row r="47" spans="3:4" x14ac:dyDescent="0.25">
      <c r="C47" s="1"/>
      <c r="D47" s="1"/>
    </row>
    <row r="48" spans="3:4" x14ac:dyDescent="0.25">
      <c r="C48" s="1"/>
      <c r="D48" s="1"/>
    </row>
    <row r="49" spans="3:4" x14ac:dyDescent="0.25">
      <c r="C49" s="1"/>
      <c r="D49" s="1"/>
    </row>
    <row r="50" spans="3:4" x14ac:dyDescent="0.25">
      <c r="C50" s="1"/>
      <c r="D50" s="1"/>
    </row>
    <row r="51" spans="3:4" x14ac:dyDescent="0.25">
      <c r="C51" s="1"/>
      <c r="D51" s="1"/>
    </row>
    <row r="52" spans="3:4" x14ac:dyDescent="0.25">
      <c r="C52" s="1"/>
      <c r="D52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6" spans="3:4" x14ac:dyDescent="0.25">
      <c r="C56" s="1"/>
      <c r="D56" s="1"/>
    </row>
    <row r="57" spans="3:4" x14ac:dyDescent="0.25">
      <c r="C57" s="1"/>
      <c r="D57" s="1"/>
    </row>
    <row r="58" spans="3:4" x14ac:dyDescent="0.25">
      <c r="C58" s="1"/>
      <c r="D58" s="1"/>
    </row>
    <row r="59" spans="3:4" x14ac:dyDescent="0.25">
      <c r="C59" s="1"/>
      <c r="D59" s="1"/>
    </row>
    <row r="60" spans="3:4" x14ac:dyDescent="0.25">
      <c r="C60" s="1"/>
      <c r="D60" s="1"/>
    </row>
    <row r="61" spans="3:4" x14ac:dyDescent="0.25">
      <c r="C61" s="1"/>
      <c r="D61" s="1"/>
    </row>
    <row r="62" spans="3:4" x14ac:dyDescent="0.25">
      <c r="C62" s="1"/>
      <c r="D62" s="1"/>
    </row>
    <row r="63" spans="3:4" x14ac:dyDescent="0.25">
      <c r="C63" s="1"/>
      <c r="D63" s="1"/>
    </row>
    <row r="64" spans="3:4" x14ac:dyDescent="0.25">
      <c r="C64" s="1"/>
      <c r="D64" s="1"/>
    </row>
    <row r="65" spans="3:4" x14ac:dyDescent="0.25">
      <c r="C65" s="1"/>
      <c r="D65" s="1"/>
    </row>
    <row r="66" spans="3:4" x14ac:dyDescent="0.25">
      <c r="C66" s="1"/>
      <c r="D66" s="1"/>
    </row>
    <row r="67" spans="3:4" x14ac:dyDescent="0.25">
      <c r="C67" s="1"/>
      <c r="D67" s="1"/>
    </row>
    <row r="68" spans="3:4" x14ac:dyDescent="0.25">
      <c r="C68" s="1"/>
      <c r="D68" s="1"/>
    </row>
    <row r="69" spans="3:4" x14ac:dyDescent="0.25">
      <c r="C69" s="1"/>
      <c r="D69" s="1"/>
    </row>
    <row r="70" spans="3:4" x14ac:dyDescent="0.25">
      <c r="C70" s="1"/>
      <c r="D70" s="1"/>
    </row>
    <row r="71" spans="3:4" x14ac:dyDescent="0.25">
      <c r="C71" s="1"/>
      <c r="D71" s="1"/>
    </row>
    <row r="72" spans="3:4" x14ac:dyDescent="0.25">
      <c r="C72" s="1"/>
      <c r="D72" s="1"/>
    </row>
    <row r="73" spans="3:4" x14ac:dyDescent="0.25">
      <c r="C73" s="1"/>
      <c r="D73" s="1"/>
    </row>
    <row r="74" spans="3:4" x14ac:dyDescent="0.25">
      <c r="C74" s="1"/>
      <c r="D74" s="1"/>
    </row>
    <row r="75" spans="3:4" x14ac:dyDescent="0.25">
      <c r="C75" s="1"/>
      <c r="D75" s="1"/>
    </row>
    <row r="76" spans="3:4" x14ac:dyDescent="0.25">
      <c r="C76" s="1"/>
      <c r="D76" s="1"/>
    </row>
    <row r="77" spans="3:4" x14ac:dyDescent="0.25">
      <c r="C77" s="1"/>
      <c r="D77" s="1"/>
    </row>
    <row r="78" spans="3:4" x14ac:dyDescent="0.25">
      <c r="C78" s="1"/>
      <c r="D78" s="1"/>
    </row>
    <row r="79" spans="3:4" x14ac:dyDescent="0.25">
      <c r="C79" s="1"/>
      <c r="D79" s="1"/>
    </row>
    <row r="80" spans="3:4" x14ac:dyDescent="0.25">
      <c r="C80" s="1"/>
      <c r="D80" s="1"/>
    </row>
    <row r="81" spans="3:4" x14ac:dyDescent="0.25">
      <c r="C81" s="1"/>
      <c r="D81" s="1"/>
    </row>
    <row r="82" spans="3:4" x14ac:dyDescent="0.25">
      <c r="C82" s="1"/>
      <c r="D82" s="1"/>
    </row>
    <row r="83" spans="3:4" x14ac:dyDescent="0.25">
      <c r="C83" s="1"/>
      <c r="D83" s="1"/>
    </row>
    <row r="84" spans="3:4" x14ac:dyDescent="0.25">
      <c r="C84" s="1"/>
      <c r="D84" s="1"/>
    </row>
    <row r="85" spans="3:4" x14ac:dyDescent="0.25">
      <c r="C85" s="1"/>
      <c r="D85" s="1"/>
    </row>
    <row r="86" spans="3:4" x14ac:dyDescent="0.25">
      <c r="C86" s="1"/>
      <c r="D86" s="1"/>
    </row>
    <row r="87" spans="3:4" x14ac:dyDescent="0.25">
      <c r="C87" s="1"/>
      <c r="D87" s="1"/>
    </row>
    <row r="88" spans="3:4" x14ac:dyDescent="0.25">
      <c r="C88" s="1"/>
      <c r="D88" s="1"/>
    </row>
    <row r="89" spans="3:4" x14ac:dyDescent="0.25">
      <c r="C89" s="1"/>
      <c r="D89" s="1"/>
    </row>
    <row r="90" spans="3:4" x14ac:dyDescent="0.25">
      <c r="C90" s="1"/>
      <c r="D90" s="1"/>
    </row>
    <row r="91" spans="3:4" x14ac:dyDescent="0.25">
      <c r="C91" s="1"/>
      <c r="D91" s="1"/>
    </row>
    <row r="92" spans="3:4" x14ac:dyDescent="0.25">
      <c r="C92" s="1"/>
      <c r="D92" s="1"/>
    </row>
    <row r="93" spans="3:4" x14ac:dyDescent="0.25">
      <c r="C93" s="1"/>
      <c r="D93" s="1"/>
    </row>
    <row r="94" spans="3:4" x14ac:dyDescent="0.25">
      <c r="C94" s="1"/>
      <c r="D94" s="1"/>
    </row>
    <row r="95" spans="3:4" x14ac:dyDescent="0.25">
      <c r="C95" s="1"/>
      <c r="D95" s="1"/>
    </row>
    <row r="96" spans="3:4" x14ac:dyDescent="0.25">
      <c r="C96" s="1"/>
      <c r="D96" s="1"/>
    </row>
    <row r="97" spans="3:4" x14ac:dyDescent="0.25">
      <c r="C97" s="1"/>
      <c r="D97" s="1"/>
    </row>
    <row r="98" spans="3:4" x14ac:dyDescent="0.25">
      <c r="C98" s="1"/>
      <c r="D98" s="1"/>
    </row>
    <row r="99" spans="3:4" x14ac:dyDescent="0.25">
      <c r="C99" s="1"/>
      <c r="D99" s="1"/>
    </row>
  </sheetData>
  <mergeCells count="57">
    <mergeCell ref="O16:O17"/>
    <mergeCell ref="O18:O19"/>
    <mergeCell ref="L1:O1"/>
    <mergeCell ref="O4:O5"/>
    <mergeCell ref="O6:O7"/>
    <mergeCell ref="O8:O9"/>
    <mergeCell ref="O10:O11"/>
    <mergeCell ref="O12:O13"/>
    <mergeCell ref="M18:M19"/>
    <mergeCell ref="N18:N19"/>
    <mergeCell ref="L6:L7"/>
    <mergeCell ref="L8:L9"/>
    <mergeCell ref="L10:L11"/>
    <mergeCell ref="L12:L13"/>
    <mergeCell ref="L14:L15"/>
    <mergeCell ref="L16:L17"/>
    <mergeCell ref="L18:L19"/>
    <mergeCell ref="L4:L5"/>
    <mergeCell ref="M4:M5"/>
    <mergeCell ref="N4:N5"/>
    <mergeCell ref="M6:M7"/>
    <mergeCell ref="N6:N7"/>
    <mergeCell ref="M8:M9"/>
    <mergeCell ref="N8:N9"/>
    <mergeCell ref="K4:K5"/>
    <mergeCell ref="K6:K7"/>
    <mergeCell ref="K8:K9"/>
    <mergeCell ref="K10:K11"/>
    <mergeCell ref="K12:K13"/>
    <mergeCell ref="N10:N11"/>
    <mergeCell ref="N12:N13"/>
    <mergeCell ref="N14:N15"/>
    <mergeCell ref="O14:O15"/>
    <mergeCell ref="M12:M13"/>
    <mergeCell ref="M14:M15"/>
    <mergeCell ref="M16:M17"/>
    <mergeCell ref="N16:N17"/>
    <mergeCell ref="M10:M11"/>
    <mergeCell ref="K14:K15"/>
    <mergeCell ref="K16:K17"/>
    <mergeCell ref="K18:K19"/>
    <mergeCell ref="I2:I3"/>
    <mergeCell ref="I4:I5"/>
    <mergeCell ref="I6:I7"/>
    <mergeCell ref="D2:D3"/>
    <mergeCell ref="D4:D5"/>
    <mergeCell ref="D6:D7"/>
    <mergeCell ref="I12:I13"/>
    <mergeCell ref="I14:I15"/>
    <mergeCell ref="I16:I17"/>
    <mergeCell ref="I8:I9"/>
    <mergeCell ref="I10:I11"/>
    <mergeCell ref="D12:D13"/>
    <mergeCell ref="D14:D15"/>
    <mergeCell ref="D16:D17"/>
    <mergeCell ref="D8:D9"/>
    <mergeCell ref="D10:D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Aguilera Aguilera</dc:creator>
  <cp:lastModifiedBy>Felipe Aguilera Aguilera</cp:lastModifiedBy>
  <dcterms:created xsi:type="dcterms:W3CDTF">2026-02-17T11:33:46Z</dcterms:created>
  <dcterms:modified xsi:type="dcterms:W3CDTF">2026-02-17T14:16:31Z</dcterms:modified>
</cp:coreProperties>
</file>